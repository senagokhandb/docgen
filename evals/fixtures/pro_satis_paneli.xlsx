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çindekiler" sheetId="1" state="visible" r:id="rId1"/>
    <sheet xmlns:r="http://schemas.openxmlformats.org/officeDocument/2006/relationships" name="Satışlar" sheetId="2" state="visible" r:id="rId2"/>
    <sheet xmlns:r="http://schemas.openxmlformats.org/officeDocument/2006/relationships" name="Özet" sheetId="3" state="visible" r:id="rId3"/>
    <sheet xmlns:r="http://schemas.openxmlformats.org/officeDocument/2006/relationships" name="Parametreler" sheetId="4" state="visible" r:id="rId4"/>
  </sheets>
  <externalReferences>
    <externalReference r:id="rIdExt1"/>
  </externalReferences>
  <definedNames>
    <definedName name="KDV_Orani">Parametreler!$B$2</definedName>
    <definedName name="_xlnm.Print_Titles" localSheetId="1">'Satışlar'!$1:$1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family val="2"/>
      <color theme="10"/>
      <sz val="12"/>
      <scheme val="minor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2">
    <xf numFmtId="0" fontId="0" fillId="0" borderId="0"/>
    <xf numFmtId="0" fontId="2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165" fontId="0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0" fillId="0" borderId="4" pivotButton="0" quotePrefix="0" xfId="0"/>
    <xf numFmtId="3" fontId="0" fillId="0" borderId="5" pivotButton="0" quotePrefix="0" xfId="0"/>
    <xf numFmtId="0" fontId="0" fillId="0" borderId="5" pivotButton="0" quotePrefix="0" xfId="0"/>
    <xf numFmtId="166" fontId="0" fillId="0" borderId="6" pivotButton="0" quotePrefix="0" xfId="0"/>
    <xf numFmtId="0" fontId="4" fillId="0" borderId="7" pivotButton="0" quotePrefix="0" xfId="0"/>
    <xf numFmtId="3" fontId="4" fillId="0" borderId="8" pivotButton="0" quotePrefix="0" xfId="0"/>
    <xf numFmtId="0" fontId="4" fillId="0" borderId="8" pivotButton="0" quotePrefix="0" xfId="0"/>
    <xf numFmtId="166" fontId="4" fillId="0" borderId="9" pivotButton="0" quotePrefix="0" xfId="0"/>
    <xf numFmtId="9" fontId="0" fillId="0" borderId="0" pivotButton="0" quotePrefix="0" xfId="0"/>
  </cellXfs>
  <cellStyles count="2">
    <cellStyle name="Normal" xfId="0" builtinId="0" hidden="0"/>
    <cellStyle name="Hyperlink" xfId="1" builtinId="8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Ext1" Type="http://schemas.openxmlformats.org/officeDocument/2006/relationships/externalLink" Target="externalLinks/externalLink1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Bölgelere Göre Ciro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'Özet'!B3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'Özet'!$A$4:$A$8</f>
            </numRef>
          </cat>
          <val>
            <numRef>
              <f>'Özet'!$B$4:$B$8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Finans</author>
  </authors>
  <commentList>
    <comment ref="F5" authorId="0" shapeId="0">
      <text>
        <t>Tahmini değer: kampanya fiyatı kesinleşmedi.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1524000" cy="447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Hedefler_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Hedef"/>
    </sheetNames>
    <sheetDataSet>
      <sheetData sheetId="0">
        <row r="2">
          <cell r="B2">
            <v>1.5e+06</v>
          </cell>
        </row>
      </sheetData>
    </sheetDataSet>
  </externalBook>
</externalLink>
</file>

<file path=xl/tables/table1.xml><?xml version="1.0" encoding="utf-8"?>
<table xmlns="http://schemas.openxmlformats.org/spreadsheetml/2006/main" id="1" name="SatisTablosu" displayName="SatisTablosu" ref="A1:H41" headerRowCount="1">
  <autoFilter ref="A1:H41"/>
  <tableColumns count="8">
    <tableColumn id="1" name="Tarih"/>
    <tableColumn id="2" name="Bölge"/>
    <tableColumn id="3" name="Temsilci"/>
    <tableColumn id="4" name="Ürün"/>
    <tableColumn id="5" name="Adet"/>
    <tableColumn id="6" name="Birim Fiyat"/>
    <tableColumn id="7" name="Tutar"/>
    <tableColumn id="8" name="KDV'li Tuta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at&#305;&#351;lar'!A1" TargetMode="External" Id="rId1"/><Relationship Type="http://schemas.openxmlformats.org/officeDocument/2006/relationships/hyperlink" Target="#'&#214;zet'!A1" TargetMode="External" Id="rId2"/><Relationship Type="http://schemas.openxmlformats.org/officeDocument/2006/relationships/hyperlink" Target="#'Parametreler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Faaliyet_Raporu_2025.docx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İçindekiler</t>
        </is>
      </c>
    </row>
    <row r="3">
      <c r="A3" s="2" t="inlineStr">
        <is>
          <t>Satışlar</t>
        </is>
      </c>
    </row>
    <row r="4">
      <c r="A4" s="2" t="inlineStr">
        <is>
          <t>Özet</t>
        </is>
      </c>
    </row>
    <row r="5">
      <c r="A5" s="2" t="inlineStr">
        <is>
          <t>Parametreler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1" customWidth="1" min="4" max="4"/>
    <col width="8" customWidth="1" min="5" max="5"/>
    <col width="12" customWidth="1" min="6" max="6"/>
    <col width="12" customWidth="1" min="7" max="7"/>
    <col width="14" customWidth="1" min="8" max="8"/>
  </cols>
  <sheetData>
    <row r="1">
      <c r="A1" t="inlineStr">
        <is>
          <t>Tarih</t>
        </is>
      </c>
      <c r="B1" t="inlineStr">
        <is>
          <t>Bölge</t>
        </is>
      </c>
      <c r="C1" t="inlineStr">
        <is>
          <t>Temsilci</t>
        </is>
      </c>
      <c r="D1" t="inlineStr">
        <is>
          <t>Ürün</t>
        </is>
      </c>
      <c r="E1" t="inlineStr">
        <is>
          <t>Adet</t>
        </is>
      </c>
      <c r="F1" t="inlineStr">
        <is>
          <t>Birim Fiyat</t>
        </is>
      </c>
      <c r="G1" t="inlineStr">
        <is>
          <t>Tutar</t>
        </is>
      </c>
      <c r="H1" t="inlineStr">
        <is>
          <t>KDV'li Tutar</t>
        </is>
      </c>
    </row>
    <row r="2">
      <c r="A2" s="3" t="n">
        <v>45659</v>
      </c>
      <c r="B2" t="inlineStr">
        <is>
          <t>Marmara</t>
        </is>
      </c>
      <c r="C2" t="inlineStr">
        <is>
          <t>Ayşe Yılmaz</t>
        </is>
      </c>
      <c r="D2" t="inlineStr">
        <is>
          <t>Klavye</t>
        </is>
      </c>
      <c r="E2" t="n">
        <v>16</v>
      </c>
      <c r="F2" s="4" t="n">
        <v>900</v>
      </c>
      <c r="G2" s="4">
        <f>E2*F2</f>
        <v>14400</v>
      </c>
      <c r="H2" s="4">
        <f>G2*(1+KDV_Orani)</f>
        <v>17280</v>
      </c>
    </row>
    <row r="3">
      <c r="A3" s="3" t="n">
        <v>45666</v>
      </c>
      <c r="B3" t="inlineStr">
        <is>
          <t>Karadeniz</t>
        </is>
      </c>
      <c r="C3" t="inlineStr">
        <is>
          <t>Fatma Oğuz</t>
        </is>
      </c>
      <c r="D3" t="inlineStr">
        <is>
          <t>Klavye</t>
        </is>
      </c>
      <c r="E3" t="n">
        <v>19</v>
      </c>
      <c r="F3" s="4" t="n">
        <v>900</v>
      </c>
      <c r="G3" s="4">
        <f>E3*F3</f>
        <v>17100</v>
      </c>
      <c r="H3" s="4">
        <f>G3*(1+KDV_Orani)</f>
        <v>20520</v>
      </c>
    </row>
    <row r="4">
      <c r="A4" s="3" t="n">
        <v>45673</v>
      </c>
      <c r="B4" t="inlineStr">
        <is>
          <t>İç Anadolu</t>
        </is>
      </c>
      <c r="C4" t="inlineStr">
        <is>
          <t>Deniz Kara</t>
        </is>
      </c>
      <c r="D4" t="inlineStr">
        <is>
          <t>Klavye</t>
        </is>
      </c>
      <c r="E4" t="n">
        <v>11</v>
      </c>
      <c r="F4" s="4" t="n">
        <v>900</v>
      </c>
      <c r="G4" s="4">
        <f>E4*F4</f>
        <v>9900</v>
      </c>
      <c r="H4" s="4">
        <f>G4*(1+KDV_Orani)</f>
        <v>11880</v>
      </c>
    </row>
    <row r="5">
      <c r="A5" s="3" t="n">
        <v>45680</v>
      </c>
      <c r="B5" t="inlineStr">
        <is>
          <t>Karadeniz</t>
        </is>
      </c>
      <c r="C5" t="inlineStr">
        <is>
          <t>Fatma Oğuz</t>
        </is>
      </c>
      <c r="D5" t="inlineStr">
        <is>
          <t>Monitör</t>
        </is>
      </c>
      <c r="E5" t="n">
        <v>8</v>
      </c>
      <c r="F5" s="4" t="n">
        <v>7800</v>
      </c>
      <c r="G5" s="4">
        <f>E5*F5</f>
        <v>62400</v>
      </c>
      <c r="H5" s="4">
        <f>G5*(1+KDV_Orani)</f>
        <v>74880</v>
      </c>
    </row>
    <row r="6">
      <c r="A6" s="3" t="n">
        <v>45692</v>
      </c>
      <c r="B6" t="inlineStr">
        <is>
          <t>Akdeniz</t>
        </is>
      </c>
      <c r="C6" t="inlineStr">
        <is>
          <t>Emre Çelik</t>
        </is>
      </c>
      <c r="D6" t="inlineStr">
        <is>
          <t>Laptop</t>
        </is>
      </c>
      <c r="E6" t="n">
        <v>1</v>
      </c>
      <c r="F6" s="4" t="n">
        <v>25000</v>
      </c>
      <c r="G6" s="4">
        <f>E6*F6</f>
        <v>25000</v>
      </c>
      <c r="H6" s="4">
        <f>G6*(1+KDV_Orani)</f>
        <v>30000</v>
      </c>
    </row>
    <row r="7">
      <c r="A7" s="3" t="n">
        <v>45699</v>
      </c>
      <c r="B7" t="inlineStr">
        <is>
          <t>Marmara</t>
        </is>
      </c>
      <c r="C7" t="inlineStr">
        <is>
          <t>Ayşe Yılmaz</t>
        </is>
      </c>
      <c r="D7" t="inlineStr">
        <is>
          <t>Monitör</t>
        </is>
      </c>
      <c r="E7" t="n">
        <v>2</v>
      </c>
      <c r="F7" s="4" t="n">
        <v>7800</v>
      </c>
      <c r="G7" s="4">
        <f>E7*F7</f>
        <v>15600</v>
      </c>
      <c r="H7" s="4">
        <f>G7*(1+KDV_Orani)</f>
        <v>18720</v>
      </c>
    </row>
    <row r="8">
      <c r="A8" s="3" t="n">
        <v>45706</v>
      </c>
      <c r="B8" t="inlineStr">
        <is>
          <t>Karadeniz</t>
        </is>
      </c>
      <c r="C8" t="inlineStr">
        <is>
          <t>Fatma Oğuz</t>
        </is>
      </c>
      <c r="D8" t="inlineStr">
        <is>
          <t>Klavye</t>
        </is>
      </c>
      <c r="E8" t="n">
        <v>27</v>
      </c>
      <c r="F8" s="4" t="n">
        <v>900</v>
      </c>
      <c r="G8" s="4">
        <f>E8*F8</f>
        <v>24300</v>
      </c>
      <c r="H8" s="4">
        <f>G8*(1+KDV_Orani)</f>
        <v>29160</v>
      </c>
    </row>
    <row r="9">
      <c r="A9" s="3" t="n">
        <v>45741</v>
      </c>
      <c r="B9" t="inlineStr">
        <is>
          <t>Ege</t>
        </is>
      </c>
      <c r="C9" t="inlineStr">
        <is>
          <t>Ceren Ak</t>
        </is>
      </c>
      <c r="D9" t="inlineStr">
        <is>
          <t>Mouse</t>
        </is>
      </c>
      <c r="E9" t="n">
        <v>17</v>
      </c>
      <c r="F9" s="4" t="n">
        <v>350</v>
      </c>
      <c r="G9" s="4">
        <f>E9*F9</f>
        <v>5950</v>
      </c>
      <c r="H9" s="4">
        <f>G9*(1+KDV_Orani)</f>
        <v>7140</v>
      </c>
    </row>
    <row r="10">
      <c r="A10" s="3" t="n">
        <v>45722</v>
      </c>
      <c r="B10" t="inlineStr">
        <is>
          <t>Karadeniz</t>
        </is>
      </c>
      <c r="C10" t="inlineStr">
        <is>
          <t>Fatma Oğuz</t>
        </is>
      </c>
      <c r="D10" t="inlineStr">
        <is>
          <t>Monitör</t>
        </is>
      </c>
      <c r="E10" t="n">
        <v>11</v>
      </c>
      <c r="F10" s="4" t="n">
        <v>7800</v>
      </c>
      <c r="G10" s="4">
        <f>E10*F10</f>
        <v>85800</v>
      </c>
      <c r="H10" s="4">
        <f>G10*(1+KDV_Orani)</f>
        <v>102960</v>
      </c>
    </row>
    <row r="11">
      <c r="A11" s="3" t="n">
        <v>45729</v>
      </c>
      <c r="B11" t="inlineStr">
        <is>
          <t>İç Anadolu</t>
        </is>
      </c>
      <c r="C11" t="inlineStr">
        <is>
          <t>Deniz Kara</t>
        </is>
      </c>
      <c r="D11" t="inlineStr">
        <is>
          <t>Monitör</t>
        </is>
      </c>
      <c r="E11" t="n">
        <v>10</v>
      </c>
      <c r="F11" s="4" t="n">
        <v>7800</v>
      </c>
      <c r="G11" s="4">
        <f>E11*F11</f>
        <v>78000</v>
      </c>
      <c r="H11" s="4">
        <f>G11*(1+KDV_Orani)</f>
        <v>93600</v>
      </c>
    </row>
    <row r="12">
      <c r="A12" s="3" t="n">
        <v>45767</v>
      </c>
      <c r="B12" t="inlineStr">
        <is>
          <t>Marmara</t>
        </is>
      </c>
      <c r="C12" t="inlineStr">
        <is>
          <t>Burak Şen</t>
        </is>
      </c>
      <c r="D12" t="inlineStr">
        <is>
          <t>Mouse</t>
        </is>
      </c>
      <c r="E12" t="n">
        <v>34</v>
      </c>
      <c r="F12" s="4" t="n">
        <v>350</v>
      </c>
      <c r="G12" s="4">
        <f>E12*F12</f>
        <v>11900</v>
      </c>
      <c r="H12" s="4">
        <f>G12*(1+KDV_Orani)</f>
        <v>14280</v>
      </c>
    </row>
    <row r="13">
      <c r="A13" s="3" t="n">
        <v>45774</v>
      </c>
      <c r="B13" t="inlineStr">
        <is>
          <t>Karadeniz</t>
        </is>
      </c>
      <c r="C13" t="inlineStr">
        <is>
          <t>Fatma Oğuz</t>
        </is>
      </c>
      <c r="D13" t="inlineStr">
        <is>
          <t>Mouse</t>
        </is>
      </c>
      <c r="E13" t="n">
        <v>16</v>
      </c>
      <c r="F13" s="4" t="n">
        <v>350</v>
      </c>
      <c r="G13" s="4">
        <f>E13*F13</f>
        <v>5600</v>
      </c>
      <c r="H13" s="4">
        <f>G13*(1+KDV_Orani)</f>
        <v>6720</v>
      </c>
    </row>
    <row r="14">
      <c r="A14" s="3" t="n">
        <v>45755</v>
      </c>
      <c r="B14" t="inlineStr">
        <is>
          <t>İç Anadolu</t>
        </is>
      </c>
      <c r="C14" t="inlineStr">
        <is>
          <t>Deniz Kara</t>
        </is>
      </c>
      <c r="D14" t="inlineStr">
        <is>
          <t>Mouse</t>
        </is>
      </c>
      <c r="E14" t="n">
        <v>34</v>
      </c>
      <c r="F14" s="4" t="n">
        <v>350</v>
      </c>
      <c r="G14" s="4">
        <f>E14*F14</f>
        <v>11900</v>
      </c>
      <c r="H14" s="4">
        <f>G14*(1+KDV_Orani)</f>
        <v>14280</v>
      </c>
    </row>
    <row r="15">
      <c r="A15" s="3" t="n">
        <v>45762</v>
      </c>
      <c r="B15" t="inlineStr">
        <is>
          <t>Karadeniz</t>
        </is>
      </c>
      <c r="C15" t="inlineStr">
        <is>
          <t>Fatma Oğuz</t>
        </is>
      </c>
      <c r="D15" t="inlineStr">
        <is>
          <t>Mouse</t>
        </is>
      </c>
      <c r="E15" t="n">
        <v>32</v>
      </c>
      <c r="F15" s="4" t="n">
        <v>350</v>
      </c>
      <c r="G15" s="4">
        <f>E15*F15</f>
        <v>11200</v>
      </c>
      <c r="H15" s="4">
        <f>G15*(1+KDV_Orani)</f>
        <v>13440</v>
      </c>
    </row>
    <row r="16">
      <c r="A16" s="3" t="n">
        <v>45799</v>
      </c>
      <c r="B16" t="inlineStr">
        <is>
          <t>Akdeniz</t>
        </is>
      </c>
      <c r="C16" t="inlineStr">
        <is>
          <t>Emre Çelik</t>
        </is>
      </c>
      <c r="D16" t="inlineStr">
        <is>
          <t>Mouse</t>
        </is>
      </c>
      <c r="E16" t="n">
        <v>20</v>
      </c>
      <c r="F16" s="4" t="n">
        <v>350</v>
      </c>
      <c r="G16" s="4">
        <f>E16*F16</f>
        <v>7000</v>
      </c>
      <c r="H16" s="4">
        <f>G16*(1+KDV_Orani)</f>
        <v>8400</v>
      </c>
    </row>
    <row r="17">
      <c r="A17" s="3" t="n">
        <v>45780</v>
      </c>
      <c r="B17" t="inlineStr">
        <is>
          <t>Marmara</t>
        </is>
      </c>
      <c r="C17" t="inlineStr">
        <is>
          <t>Burak Şen</t>
        </is>
      </c>
      <c r="D17" t="inlineStr">
        <is>
          <t>Mouse</t>
        </is>
      </c>
      <c r="E17" t="n">
        <v>38</v>
      </c>
      <c r="F17" s="4" t="n">
        <v>350</v>
      </c>
      <c r="G17" s="4">
        <f>E17*F17</f>
        <v>13300</v>
      </c>
      <c r="H17" s="4">
        <f>G17*(1+KDV_Orani)</f>
        <v>15960</v>
      </c>
    </row>
    <row r="18">
      <c r="A18" s="3" t="n">
        <v>45787</v>
      </c>
      <c r="B18" t="inlineStr">
        <is>
          <t>Akdeniz</t>
        </is>
      </c>
      <c r="C18" t="inlineStr">
        <is>
          <t>Emre Çelik</t>
        </is>
      </c>
      <c r="D18" t="inlineStr">
        <is>
          <t>Yazıcı</t>
        </is>
      </c>
      <c r="E18" t="n">
        <v>7</v>
      </c>
      <c r="F18" s="4" t="n">
        <v>5400</v>
      </c>
      <c r="G18" s="4">
        <f>E18*F18</f>
        <v>37800</v>
      </c>
      <c r="H18" s="4">
        <f>G18*(1+KDV_Orani)</f>
        <v>45360</v>
      </c>
    </row>
    <row r="19">
      <c r="A19" s="3" t="n">
        <v>45825</v>
      </c>
      <c r="B19" t="inlineStr">
        <is>
          <t>İç Anadolu</t>
        </is>
      </c>
      <c r="C19" t="inlineStr">
        <is>
          <t>Deniz Kara</t>
        </is>
      </c>
      <c r="D19" t="inlineStr">
        <is>
          <t>Laptop</t>
        </is>
      </c>
      <c r="E19" t="n">
        <v>2</v>
      </c>
      <c r="F19" s="4" t="n">
        <v>25000</v>
      </c>
      <c r="G19" s="4">
        <f>E19*F19</f>
        <v>50000</v>
      </c>
      <c r="H19" s="4">
        <f>G19*(1+KDV_Orani)</f>
        <v>60000</v>
      </c>
    </row>
    <row r="20">
      <c r="A20" s="3" t="n">
        <v>45832</v>
      </c>
      <c r="B20" t="inlineStr">
        <is>
          <t>Marmara</t>
        </is>
      </c>
      <c r="C20" t="inlineStr">
        <is>
          <t>Ayşe Yılmaz</t>
        </is>
      </c>
      <c r="D20" t="inlineStr">
        <is>
          <t>Mouse</t>
        </is>
      </c>
      <c r="E20" t="n">
        <v>14</v>
      </c>
      <c r="F20" s="4" t="n">
        <v>350</v>
      </c>
      <c r="G20" s="4">
        <f>E20*F20</f>
        <v>4900</v>
      </c>
      <c r="H20" s="4">
        <f>G20*(1+KDV_Orani)</f>
        <v>5880</v>
      </c>
    </row>
    <row r="21">
      <c r="A21" s="3" t="n">
        <v>45813</v>
      </c>
      <c r="B21" t="inlineStr">
        <is>
          <t>Akdeniz</t>
        </is>
      </c>
      <c r="C21" t="inlineStr">
        <is>
          <t>Emre Çelik</t>
        </is>
      </c>
      <c r="D21" t="inlineStr">
        <is>
          <t>Mouse</t>
        </is>
      </c>
      <c r="E21" t="n">
        <v>40</v>
      </c>
      <c r="F21" s="4" t="n">
        <v>350</v>
      </c>
      <c r="G21" s="4">
        <f>E21*F21</f>
        <v>14000</v>
      </c>
      <c r="H21" s="4">
        <f>G21*(1+KDV_Orani)</f>
        <v>16800</v>
      </c>
    </row>
    <row r="22">
      <c r="A22" s="3" t="n">
        <v>45850</v>
      </c>
      <c r="B22" t="inlineStr">
        <is>
          <t>Ege</t>
        </is>
      </c>
      <c r="C22" t="inlineStr">
        <is>
          <t>Ceren Ak</t>
        </is>
      </c>
      <c r="D22" t="inlineStr">
        <is>
          <t>Yazıcı</t>
        </is>
      </c>
      <c r="E22" t="n">
        <v>10</v>
      </c>
      <c r="F22" s="4" t="n">
        <v>5400</v>
      </c>
      <c r="G22" s="4">
        <f>E22*F22</f>
        <v>54000</v>
      </c>
      <c r="H22" s="4">
        <f>G22*(1+KDV_Orani)</f>
        <v>64800</v>
      </c>
    </row>
    <row r="23">
      <c r="A23" s="3" t="n">
        <v>45857</v>
      </c>
      <c r="B23" t="inlineStr">
        <is>
          <t>Karadeniz</t>
        </is>
      </c>
      <c r="C23" t="inlineStr">
        <is>
          <t>Fatma Oğuz</t>
        </is>
      </c>
      <c r="D23" t="inlineStr">
        <is>
          <t>Mouse</t>
        </is>
      </c>
      <c r="E23" t="n">
        <v>6</v>
      </c>
      <c r="F23" s="4" t="n">
        <v>350</v>
      </c>
      <c r="G23" s="4">
        <f>E23*F23</f>
        <v>2100</v>
      </c>
      <c r="H23" s="4">
        <f>G23*(1+KDV_Orani)</f>
        <v>2520</v>
      </c>
    </row>
    <row r="24">
      <c r="A24" s="3" t="n">
        <v>45864</v>
      </c>
      <c r="B24" t="inlineStr">
        <is>
          <t>Ege</t>
        </is>
      </c>
      <c r="C24" t="inlineStr">
        <is>
          <t>Ceren Ak</t>
        </is>
      </c>
      <c r="D24" t="inlineStr">
        <is>
          <t>Monitör</t>
        </is>
      </c>
      <c r="E24" t="n">
        <v>5</v>
      </c>
      <c r="F24" s="4" t="n">
        <v>7800</v>
      </c>
      <c r="G24" s="4">
        <f>E24*F24</f>
        <v>39000</v>
      </c>
      <c r="H24" s="4">
        <f>G24*(1+KDV_Orani)</f>
        <v>46800</v>
      </c>
    </row>
    <row r="25">
      <c r="A25" s="3" t="n">
        <v>45845</v>
      </c>
      <c r="B25" t="inlineStr">
        <is>
          <t>Karadeniz</t>
        </is>
      </c>
      <c r="C25" t="inlineStr">
        <is>
          <t>Fatma Oğuz</t>
        </is>
      </c>
      <c r="D25" t="inlineStr">
        <is>
          <t>Monitör</t>
        </is>
      </c>
      <c r="E25" t="n">
        <v>12</v>
      </c>
      <c r="F25" s="4" t="n">
        <v>7800</v>
      </c>
      <c r="G25" s="4">
        <f>E25*F25</f>
        <v>93600</v>
      </c>
      <c r="H25" s="4">
        <f>G25*(1+KDV_Orani)</f>
        <v>112320</v>
      </c>
    </row>
    <row r="26">
      <c r="A26" s="3" t="n">
        <v>45883</v>
      </c>
      <c r="B26" t="inlineStr">
        <is>
          <t>İç Anadolu</t>
        </is>
      </c>
      <c r="C26" t="inlineStr">
        <is>
          <t>Deniz Kara</t>
        </is>
      </c>
      <c r="D26" t="inlineStr">
        <is>
          <t>Yazıcı</t>
        </is>
      </c>
      <c r="E26" t="n">
        <v>10</v>
      </c>
      <c r="F26" s="4" t="n">
        <v>5400</v>
      </c>
      <c r="G26" s="4">
        <f>E26*F26</f>
        <v>54000</v>
      </c>
      <c r="H26" s="4">
        <f>G26*(1+KDV_Orani)</f>
        <v>64800</v>
      </c>
    </row>
    <row r="27">
      <c r="A27" s="3" t="n">
        <v>45890</v>
      </c>
      <c r="B27" t="inlineStr">
        <is>
          <t>Marmara</t>
        </is>
      </c>
      <c r="C27" t="inlineStr">
        <is>
          <t>Ayşe Yılmaz</t>
        </is>
      </c>
      <c r="D27" t="inlineStr">
        <is>
          <t>Mouse</t>
        </is>
      </c>
      <c r="E27" t="n">
        <v>32</v>
      </c>
      <c r="F27" s="4" t="n">
        <v>350</v>
      </c>
      <c r="G27" s="4">
        <f>E27*F27</f>
        <v>11200</v>
      </c>
      <c r="H27" s="4">
        <f>G27*(1+KDV_Orani)</f>
        <v>13440</v>
      </c>
    </row>
    <row r="28">
      <c r="A28" s="3" t="n">
        <v>45871</v>
      </c>
      <c r="B28" t="inlineStr">
        <is>
          <t>Akdeniz</t>
        </is>
      </c>
      <c r="C28" t="inlineStr">
        <is>
          <t>Emre Çelik</t>
        </is>
      </c>
      <c r="D28" t="inlineStr">
        <is>
          <t>Monitör</t>
        </is>
      </c>
      <c r="E28" t="n">
        <v>12</v>
      </c>
      <c r="F28" s="4" t="n">
        <v>7800</v>
      </c>
      <c r="G28" s="4">
        <f>E28*F28</f>
        <v>93600</v>
      </c>
      <c r="H28" s="4">
        <f>G28*(1+KDV_Orani)</f>
        <v>112320</v>
      </c>
    </row>
    <row r="29">
      <c r="A29" s="3" t="n">
        <v>45909</v>
      </c>
      <c r="B29" t="inlineStr">
        <is>
          <t>İç Anadolu</t>
        </is>
      </c>
      <c r="C29" t="inlineStr">
        <is>
          <t>Deniz Kara</t>
        </is>
      </c>
      <c r="D29" t="inlineStr">
        <is>
          <t>Yazıcı</t>
        </is>
      </c>
      <c r="E29" t="n">
        <v>12</v>
      </c>
      <c r="F29" s="4" t="n">
        <v>5400</v>
      </c>
      <c r="G29" s="4">
        <f>E29*F29</f>
        <v>64800</v>
      </c>
      <c r="H29" s="4">
        <f>G29*(1+KDV_Orani)</f>
        <v>77760</v>
      </c>
    </row>
    <row r="30">
      <c r="A30" s="3" t="n">
        <v>45916</v>
      </c>
      <c r="B30" t="inlineStr">
        <is>
          <t>Marmara</t>
        </is>
      </c>
      <c r="C30" t="inlineStr">
        <is>
          <t>Burak Şen</t>
        </is>
      </c>
      <c r="D30" t="inlineStr">
        <is>
          <t>Yazıcı</t>
        </is>
      </c>
      <c r="E30" t="n">
        <v>4</v>
      </c>
      <c r="F30" s="4" t="n">
        <v>5400</v>
      </c>
      <c r="G30" s="4">
        <f>E30*F30</f>
        <v>21600</v>
      </c>
      <c r="H30" s="4">
        <f>G30*(1+KDV_Orani)</f>
        <v>25920</v>
      </c>
    </row>
    <row r="31">
      <c r="A31" s="3" t="n">
        <v>45923</v>
      </c>
      <c r="B31" t="inlineStr">
        <is>
          <t>İç Anadolu</t>
        </is>
      </c>
      <c r="C31" t="inlineStr">
        <is>
          <t>Deniz Kara</t>
        </is>
      </c>
      <c r="D31" t="inlineStr">
        <is>
          <t>Mouse</t>
        </is>
      </c>
      <c r="E31" t="n">
        <v>33</v>
      </c>
      <c r="F31" s="4" t="n">
        <v>350</v>
      </c>
      <c r="G31" s="4">
        <f>E31*F31</f>
        <v>11550</v>
      </c>
      <c r="H31" s="4">
        <f>G31*(1+KDV_Orani)</f>
        <v>13860</v>
      </c>
    </row>
    <row r="32">
      <c r="A32" s="3" t="n">
        <v>45934</v>
      </c>
      <c r="B32" t="inlineStr">
        <is>
          <t>Marmara</t>
        </is>
      </c>
      <c r="C32" t="inlineStr">
        <is>
          <t>Ayşe Yılmaz</t>
        </is>
      </c>
      <c r="D32" t="inlineStr">
        <is>
          <t>Mouse</t>
        </is>
      </c>
      <c r="E32" t="n">
        <v>14</v>
      </c>
      <c r="F32" s="4" t="n">
        <v>350</v>
      </c>
      <c r="G32" s="4">
        <f>E32*F32</f>
        <v>4900</v>
      </c>
      <c r="H32" s="4">
        <f>G32*(1+KDV_Orani)</f>
        <v>5880</v>
      </c>
    </row>
    <row r="33">
      <c r="A33" s="3" t="n">
        <v>45941</v>
      </c>
      <c r="B33" t="inlineStr">
        <is>
          <t>Karadeniz</t>
        </is>
      </c>
      <c r="C33" t="inlineStr">
        <is>
          <t>Fatma Oğuz</t>
        </is>
      </c>
      <c r="D33" t="inlineStr">
        <is>
          <t>Yazıcı</t>
        </is>
      </c>
      <c r="E33" t="n">
        <v>12</v>
      </c>
      <c r="F33" s="4" t="n">
        <v>5400</v>
      </c>
      <c r="G33" s="4">
        <f>E33*F33</f>
        <v>64800</v>
      </c>
      <c r="H33" s="4">
        <f>G33*(1+KDV_Orani)</f>
        <v>77760</v>
      </c>
    </row>
    <row r="34">
      <c r="A34" s="3" t="n">
        <v>45948</v>
      </c>
      <c r="B34" t="inlineStr">
        <is>
          <t>Ege</t>
        </is>
      </c>
      <c r="C34" t="inlineStr">
        <is>
          <t>Ceren Ak</t>
        </is>
      </c>
      <c r="D34" t="inlineStr">
        <is>
          <t>Yazıcı</t>
        </is>
      </c>
      <c r="E34" t="n">
        <v>10</v>
      </c>
      <c r="F34" s="4" t="n">
        <v>5400</v>
      </c>
      <c r="G34" s="4">
        <f>E34*F34</f>
        <v>54000</v>
      </c>
      <c r="H34" s="4">
        <f>G34*(1+KDV_Orani)</f>
        <v>64800</v>
      </c>
    </row>
    <row r="35">
      <c r="A35" s="3" t="n">
        <v>45955</v>
      </c>
      <c r="B35" t="inlineStr">
        <is>
          <t>Marmara</t>
        </is>
      </c>
      <c r="C35" t="inlineStr">
        <is>
          <t>Burak Şen</t>
        </is>
      </c>
      <c r="D35" t="inlineStr">
        <is>
          <t>Mouse</t>
        </is>
      </c>
      <c r="E35" t="n">
        <v>35</v>
      </c>
      <c r="F35" s="4" t="n">
        <v>350</v>
      </c>
      <c r="G35" s="4">
        <f>E35*F35</f>
        <v>12250</v>
      </c>
      <c r="H35" s="4">
        <f>G35*(1+KDV_Orani)</f>
        <v>14700</v>
      </c>
    </row>
    <row r="36">
      <c r="A36" s="3" t="n">
        <v>45967</v>
      </c>
      <c r="B36" t="inlineStr">
        <is>
          <t>Akdeniz</t>
        </is>
      </c>
      <c r="C36" t="inlineStr">
        <is>
          <t>Emre Çelik</t>
        </is>
      </c>
      <c r="D36" t="inlineStr">
        <is>
          <t>Laptop</t>
        </is>
      </c>
      <c r="E36" t="n">
        <v>2</v>
      </c>
      <c r="F36" s="4" t="n">
        <v>25000</v>
      </c>
      <c r="G36" s="4">
        <f>E36*F36</f>
        <v>50000</v>
      </c>
      <c r="H36" s="4">
        <f>G36*(1+KDV_Orani)</f>
        <v>60000</v>
      </c>
    </row>
    <row r="37">
      <c r="A37" s="3" t="n">
        <v>45974</v>
      </c>
      <c r="B37" t="inlineStr">
        <is>
          <t>Ege</t>
        </is>
      </c>
      <c r="C37" t="inlineStr">
        <is>
          <t>Ceren Ak</t>
        </is>
      </c>
      <c r="D37" t="inlineStr">
        <is>
          <t>Mouse</t>
        </is>
      </c>
      <c r="E37" t="n">
        <v>32</v>
      </c>
      <c r="F37" s="4" t="n">
        <v>350</v>
      </c>
      <c r="G37" s="4">
        <f>E37*F37</f>
        <v>11200</v>
      </c>
      <c r="H37" s="4">
        <f>G37*(1+KDV_Orani)</f>
        <v>13440</v>
      </c>
    </row>
    <row r="38">
      <c r="A38" s="3" t="n">
        <v>45981</v>
      </c>
      <c r="B38" t="inlineStr">
        <is>
          <t>Karadeniz</t>
        </is>
      </c>
      <c r="C38" t="inlineStr">
        <is>
          <t>Fatma Oğuz</t>
        </is>
      </c>
      <c r="D38" t="inlineStr">
        <is>
          <t>Yazıcı</t>
        </is>
      </c>
      <c r="E38" t="n">
        <v>3</v>
      </c>
      <c r="F38" s="4" t="n">
        <v>5400</v>
      </c>
      <c r="G38" s="4">
        <f>E38*F38</f>
        <v>16200</v>
      </c>
      <c r="H38" s="4">
        <f>G38*(1+KDV_Orani)</f>
        <v>19440</v>
      </c>
    </row>
    <row r="39">
      <c r="A39" s="3" t="n">
        <v>46018</v>
      </c>
      <c r="B39" t="inlineStr">
        <is>
          <t>Ege</t>
        </is>
      </c>
      <c r="C39" t="inlineStr">
        <is>
          <t>Ceren Ak</t>
        </is>
      </c>
      <c r="D39" t="inlineStr">
        <is>
          <t>Yazıcı</t>
        </is>
      </c>
      <c r="E39" t="n">
        <v>3</v>
      </c>
      <c r="F39" s="4" t="n">
        <v>5400</v>
      </c>
      <c r="G39" s="4">
        <f>E39*F39</f>
        <v>16200</v>
      </c>
      <c r="H39" s="4">
        <f>G39*(1+KDV_Orani)</f>
        <v>19440</v>
      </c>
    </row>
    <row r="40">
      <c r="A40" s="3" t="n">
        <v>45999</v>
      </c>
      <c r="B40" t="inlineStr">
        <is>
          <t>Karadeniz</t>
        </is>
      </c>
      <c r="C40" t="inlineStr">
        <is>
          <t>Fatma Oğuz</t>
        </is>
      </c>
      <c r="D40" t="inlineStr">
        <is>
          <t>Monitör</t>
        </is>
      </c>
      <c r="E40" t="n">
        <v>9</v>
      </c>
      <c r="F40" s="4" t="n">
        <v>7800</v>
      </c>
      <c r="G40" s="4">
        <f>E40*F40</f>
        <v>70200</v>
      </c>
      <c r="H40" s="4">
        <f>G40*(1+KDV_Orani)</f>
        <v>84240</v>
      </c>
    </row>
    <row r="41">
      <c r="A41" s="3" t="n">
        <v>46006</v>
      </c>
      <c r="B41" t="inlineStr">
        <is>
          <t>İç Anadolu</t>
        </is>
      </c>
      <c r="C41" t="inlineStr">
        <is>
          <t>Deniz Kara</t>
        </is>
      </c>
      <c r="D41" t="inlineStr">
        <is>
          <t>Laptop</t>
        </is>
      </c>
      <c r="E41" t="n">
        <v>2</v>
      </c>
      <c r="F41" s="4" t="n">
        <v>25000</v>
      </c>
      <c r="G41" s="4">
        <f>E41*F41</f>
        <v>50000</v>
      </c>
      <c r="H41" s="4">
        <f>G41*(1+KDV_Orani)</f>
        <v>60000</v>
      </c>
    </row>
  </sheetData>
  <conditionalFormatting sqref="G2:G41">
    <cfRule type="cellIs" priority="1" operator="greaterThan" dxfId="0">
      <formula>30000</formula>
    </cfRule>
  </conditionalFormatting>
  <dataValidations count="1">
    <dataValidation sqref="B2:B41" showDropDown="0" showInputMessage="0" showErrorMessage="0" allowBlank="0" type="list">
      <formula1>"Marmara,Ege,İç Anadolu,Akdeniz,Karadeniz"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0" customWidth="1" min="4" max="4"/>
  </cols>
  <sheetData>
    <row r="1">
      <c r="A1" s="5" t="inlineStr">
        <is>
          <t>2025 Satış Özeti</t>
        </is>
      </c>
    </row>
    <row r="3">
      <c r="A3" s="6" t="inlineStr">
        <is>
          <t>Bölge</t>
        </is>
      </c>
      <c r="B3" s="7" t="inlineStr">
        <is>
          <t>Ciro</t>
        </is>
      </c>
      <c r="C3" s="7" t="inlineStr">
        <is>
          <t>Sipariş</t>
        </is>
      </c>
      <c r="D3" s="8" t="inlineStr">
        <is>
          <t>Pay</t>
        </is>
      </c>
    </row>
    <row r="4">
      <c r="A4" s="9" t="inlineStr">
        <is>
          <t>Marmara</t>
        </is>
      </c>
      <c r="B4" s="10">
        <f>SUMIF(Satışlar!$B$2:$B$41,A4,Satışlar!$G$2:$G$41)</f>
        <v>110050</v>
      </c>
      <c r="C4" s="11">
        <f>COUNTIF(Satışlar!$B$2:$B$41,A4)</f>
        <v>9</v>
      </c>
      <c r="D4" s="12">
        <f>B4/$B$9</f>
        <v>0.08457252641690682</v>
      </c>
    </row>
    <row r="5">
      <c r="A5" s="9" t="inlineStr">
        <is>
          <t>Ege</t>
        </is>
      </c>
      <c r="B5" s="10">
        <f>SUMIF(Satışlar!$B$2:$B$41,A5,Satışlar!$G$2:$G$41)</f>
        <v>180350</v>
      </c>
      <c r="C5" s="11">
        <f>COUNTIF(Satışlar!$B$2:$B$41,A5)</f>
        <v>6</v>
      </c>
      <c r="D5" s="12">
        <f>B5/$B$9</f>
        <v>0.13859750240153698</v>
      </c>
    </row>
    <row r="6">
      <c r="A6" s="9" t="inlineStr">
        <is>
          <t>İç Anadolu</t>
        </is>
      </c>
      <c r="B6" s="10">
        <f>SUMIF(Satışlar!$B$2:$B$41,A6,Satışlar!$G$2:$G$41)</f>
        <v>330150</v>
      </c>
      <c r="C6" s="11">
        <f>COUNTIF(Satışlar!$B$2:$B$41,A6)</f>
        <v>8</v>
      </c>
      <c r="D6" s="12">
        <f>B6/$B$9</f>
        <v>0.25371757925072047</v>
      </c>
    </row>
    <row r="7">
      <c r="A7" s="9" t="inlineStr">
        <is>
          <t>Akdeniz</t>
        </is>
      </c>
      <c r="B7" s="10">
        <f>SUMIF(Satışlar!$B$2:$B$41,A7,Satışlar!$G$2:$G$41)</f>
        <v>227400</v>
      </c>
      <c r="C7" s="11">
        <f>COUNTIF(Satışlar!$B$2:$B$41,A7)</f>
        <v>6</v>
      </c>
      <c r="D7" s="12">
        <f>B7/$B$9</f>
        <v>0.17475504322766572</v>
      </c>
    </row>
    <row r="8">
      <c r="A8" s="9" t="inlineStr">
        <is>
          <t>Karadeniz</t>
        </is>
      </c>
      <c r="B8" s="10">
        <f>SUMIF(Satışlar!$B$2:$B$41,A8,Satışlar!$G$2:$G$41)</f>
        <v>453300</v>
      </c>
      <c r="C8" s="11">
        <f>COUNTIF(Satışlar!$B$2:$B$41,A8)</f>
        <v>11</v>
      </c>
      <c r="D8" s="12">
        <f>B8/$B$9</f>
        <v>0.34835734870317003</v>
      </c>
    </row>
    <row r="9">
      <c r="A9" s="13" t="inlineStr">
        <is>
          <t>Toplam</t>
        </is>
      </c>
      <c r="B9" s="14">
        <f>SUM(B4:B8)</f>
        <v>1301250</v>
      </c>
      <c r="C9" s="15">
        <f>SUM(C4:C8)</f>
        <v>40</v>
      </c>
      <c r="D9" s="16">
        <f>SUM(D4:D8)</f>
        <v>1</v>
      </c>
    </row>
    <row r="11">
      <c r="A11" t="inlineStr">
        <is>
          <t>Hedef (dış dosya)</t>
        </is>
      </c>
      <c r="B11">
        <f>[1]Hedef!$B$2</f>
        <v>1500000</v>
      </c>
    </row>
    <row r="12">
      <c r="A12" s="2" t="inlineStr">
        <is>
          <t>Ayrıntılı rapor (Word)</t>
        </is>
      </c>
    </row>
    <row r="14">
      <c r="A14" t="inlineStr">
        <is>
          <t>Not: Ciro KDV hariçtir; bölge payları toplam ciroya göre hesaplanmıştır ve yıl sonu kapanışından önceki verilere dayanır.</t>
        </is>
      </c>
    </row>
  </sheetData>
  <mergeCells count="1">
    <mergeCell ref="A1:D1"/>
  </mergeCells>
  <hyperlinks>
    <hyperlink ref="A12" r:id="rId1"/>
  </hyperlinks>
  <pageMargins left="0.75" right="0.75" top="1" bottom="1" header="0.5" footer="0.5"/>
  <pageSetup orientation="landscape" paperSize="9" fitToHeight="0" fitToWidth="1"/>
  <headerFooter>
    <oddHeader>&amp;CKuzey Lojistik — Şirket İçi</oddHeader>
    <oddFooter>&amp;CSayfa &amp;P / &amp;N</oddFooter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Parametre</t>
        </is>
      </c>
      <c r="B1" t="inlineStr">
        <is>
          <t>Değer</t>
        </is>
      </c>
    </row>
    <row r="2">
      <c r="A2" t="inlineStr">
        <is>
          <t>KDV Oranı</t>
        </is>
      </c>
      <c r="B2" s="17" t="n">
        <v>0.2</v>
      </c>
    </row>
    <row r="3">
      <c r="A3" t="inlineStr">
        <is>
          <t>Hedef Büyüme</t>
        </is>
      </c>
      <c r="B3" s="17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Kuzey Lojistik A.Ş.</Company>
</Properties>
</file>

<file path=docProps/core.xml><?xml version="1.0" encoding="utf-8"?>
<cp:coreProperties xmlns:cp="http://schemas.openxmlformats.org/package/2006/metadata/core-properties">
  <dc:creator xmlns:dc="http://purl.org/dc/elements/1.1/">Kuzey Lojistik Finans</dc:creator>
  <dc:title xmlns:dc="http://purl.org/dc/elements/1.1/">2025 Satış Paneli</dc:title>
  <dcterms:created xmlns:dcterms="http://purl.org/dc/terms/" xmlns:xsi="http://www.w3.org/2001/XMLSchema-instance" xsi:type="dcterms:W3CDTF">2026-10-22T12:48:03Z</dcterms:created>
  <dcterms:modified xmlns:dcterms="http://purl.org/dc/terms/" xmlns:xsi="http://www.w3.org/2001/XMLSchema-instance" xsi:type="dcterms:W3CDTF">2026-10-22T12:48:03Z</dcterms:modified>
</cp:coreProperties>
</file>
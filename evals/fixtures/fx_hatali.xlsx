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lir Tablosu" sheetId="1" state="visible" r:id="rId1"/>
    <sheet xmlns:r="http://schemas.openxmlformats.org/officeDocument/2006/relationships" name="Çeyrek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Gelir</t>
        </is>
      </c>
      <c r="C1" t="inlineStr">
        <is>
          <t>Gider</t>
        </is>
      </c>
      <c r="D1" t="inlineStr">
        <is>
          <t>Kâr</t>
        </is>
      </c>
      <c r="E1" t="inlineStr">
        <is>
          <t>Kâr Marjı</t>
        </is>
      </c>
    </row>
    <row r="2">
      <c r="A2" t="inlineStr">
        <is>
          <t>Ocak</t>
        </is>
      </c>
      <c r="B2" t="n">
        <v>412000</v>
      </c>
      <c r="C2" t="n">
        <v>318000</v>
      </c>
      <c r="D2">
        <f>B2-C2</f>
        <v>94000</v>
      </c>
      <c r="E2" s="1">
        <f>D2/B2</f>
        <v>0.22815533980582525</v>
      </c>
    </row>
    <row r="3">
      <c r="A3" t="inlineStr">
        <is>
          <t>Şubat</t>
        </is>
      </c>
      <c r="B3" t="n">
        <v>398500</v>
      </c>
      <c r="C3" t="n">
        <v>301200</v>
      </c>
      <c r="D3">
        <f>B3-C3</f>
        <v>97300</v>
      </c>
      <c r="E3" s="1">
        <f>D3/B3</f>
        <v>0.24416562107904644</v>
      </c>
    </row>
    <row r="4">
      <c r="A4" t="inlineStr">
        <is>
          <t>Mart</t>
        </is>
      </c>
      <c r="B4" t="n">
        <v>455300</v>
      </c>
      <c r="C4" t="n">
        <v>342800</v>
      </c>
      <c r="D4">
        <f>B4-C4</f>
        <v>112500</v>
      </c>
      <c r="E4" s="1">
        <f>D4/B4</f>
        <v>0.24708983088073797</v>
      </c>
    </row>
    <row r="5">
      <c r="A5" t="inlineStr">
        <is>
          <t>Nisan</t>
        </is>
      </c>
      <c r="B5" t="n">
        <v>430000</v>
      </c>
      <c r="C5" t="n">
        <v>335500</v>
      </c>
      <c r="D5">
        <f>B5-C5</f>
        <v>94500</v>
      </c>
      <c r="E5" s="1">
        <f>D5/B5</f>
        <v>0.21976744186046512</v>
      </c>
    </row>
    <row r="6">
      <c r="A6" t="inlineStr">
        <is>
          <t>Mayıs</t>
        </is>
      </c>
      <c r="B6" t="n">
        <v>468900</v>
      </c>
      <c r="C6" t="n">
        <v>351000</v>
      </c>
      <c r="D6">
        <f>B6-C6</f>
        <v>117900</v>
      </c>
      <c r="E6" s="1">
        <f>D6/B6</f>
        <v>0.2514395393474088</v>
      </c>
    </row>
    <row r="7">
      <c r="A7" t="inlineStr">
        <is>
          <t>Haziran</t>
        </is>
      </c>
      <c r="B7" t="n">
        <v>502400</v>
      </c>
      <c r="C7" t="n">
        <v>377900</v>
      </c>
      <c r="D7">
        <f>B7-C7</f>
        <v>124500</v>
      </c>
      <c r="E7" s="1">
        <f>D7/B7</f>
        <v>0.24781050955414013</v>
      </c>
    </row>
    <row r="8">
      <c r="A8" t="inlineStr">
        <is>
          <t>Temmuz</t>
        </is>
      </c>
      <c r="B8" t="n">
        <v>488000</v>
      </c>
      <c r="C8" t="n">
        <v>362300</v>
      </c>
      <c r="D8">
        <f>B8-C8</f>
        <v>125700</v>
      </c>
      <c r="E8" s="1" t="n">
        <v>0.25</v>
      </c>
    </row>
    <row r="9">
      <c r="A9" t="inlineStr">
        <is>
          <t>Ağustos</t>
        </is>
      </c>
      <c r="B9" t="n">
        <v>471200</v>
      </c>
      <c r="C9" t="n">
        <v>358800</v>
      </c>
      <c r="D9">
        <f>B9-C9</f>
        <v>112400</v>
      </c>
      <c r="E9" s="1">
        <f>D9/B9</f>
        <v>0.23853989813242785</v>
      </c>
    </row>
    <row r="10">
      <c r="A10" t="inlineStr">
        <is>
          <t>Eylül</t>
        </is>
      </c>
      <c r="B10" t="n">
        <v>515600</v>
      </c>
      <c r="C10" t="n">
        <v>380100</v>
      </c>
      <c r="D10">
        <f>B10-C10</f>
        <v>135500</v>
      </c>
      <c r="E10" s="1">
        <f>D10/B10</f>
        <v>0.26280062063615206</v>
      </c>
    </row>
    <row r="11">
      <c r="A11" t="inlineStr">
        <is>
          <t>Ekim</t>
        </is>
      </c>
      <c r="B11" t="n">
        <v>530800</v>
      </c>
      <c r="C11" t="n">
        <v>391400</v>
      </c>
      <c r="D11">
        <f>B11-C11</f>
        <v>139400</v>
      </c>
      <c r="E11" s="1">
        <f>D11/B11</f>
        <v>0.2626224566691786</v>
      </c>
    </row>
    <row r="12">
      <c r="A12" t="inlineStr">
        <is>
          <t>Kasım</t>
        </is>
      </c>
      <c r="B12" t="n">
        <v>544000</v>
      </c>
      <c r="C12" t="n">
        <v>402700</v>
      </c>
      <c r="D12">
        <f>B12-C12</f>
        <v>141300</v>
      </c>
      <c r="E12" s="1">
        <f>D12/B12</f>
        <v>0.25974264705882355</v>
      </c>
    </row>
    <row r="13">
      <c r="A13" t="inlineStr">
        <is>
          <t>Aralık</t>
        </is>
      </c>
      <c r="B13" t="n">
        <v>598700</v>
      </c>
      <c r="C13" t="n">
        <v>431900</v>
      </c>
      <c r="D13">
        <f>B13-C13</f>
        <v>166800</v>
      </c>
      <c r="E13" s="1">
        <f>D13/B13</f>
        <v>0.2786036412226491</v>
      </c>
    </row>
    <row r="14">
      <c r="A14" t="inlineStr">
        <is>
          <t>Toplam</t>
        </is>
      </c>
      <c r="B14">
        <f>SUM(B2:B12)</f>
        <v>5216700</v>
      </c>
      <c r="C14">
        <f>SUM(C2:C13)</f>
        <v>4353600</v>
      </c>
      <c r="D14">
        <f>SUM(D2:D13)</f>
        <v>1461800</v>
      </c>
      <c r="E14" s="1">
        <f>D14/B14</f>
        <v>0.2802154618820327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Çeyrek</t>
        </is>
      </c>
      <c r="B1" t="inlineStr">
        <is>
          <t>Gelir</t>
        </is>
      </c>
      <c r="C1" t="inlineStr">
        <is>
          <t>Gider</t>
        </is>
      </c>
      <c r="D1" t="inlineStr">
        <is>
          <t>Kâr</t>
        </is>
      </c>
    </row>
    <row r="2">
      <c r="A2" t="inlineStr">
        <is>
          <t>Q1</t>
        </is>
      </c>
      <c r="B2" t="n">
        <v>1265800</v>
      </c>
      <c r="C2" t="n">
        <v>962000</v>
      </c>
      <c r="D2" t="n">
        <v>303800</v>
      </c>
    </row>
    <row r="3">
      <c r="A3" t="inlineStr">
        <is>
          <t>Q2</t>
        </is>
      </c>
      <c r="B3" t="n">
        <v>1401300</v>
      </c>
      <c r="C3" t="n">
        <v>1064400</v>
      </c>
      <c r="D3" t="n">
        <v>336900</v>
      </c>
    </row>
    <row r="4">
      <c r="A4" t="inlineStr">
        <is>
          <t>Q3</t>
        </is>
      </c>
      <c r="B4" t="n">
        <v>1474800</v>
      </c>
      <c r="C4" t="n">
        <v>1101200</v>
      </c>
      <c r="D4" t="n">
        <v>383600</v>
      </c>
    </row>
    <row r="5">
      <c r="A5" t="inlineStr">
        <is>
          <t>Q4</t>
        </is>
      </c>
      <c r="B5" t="n">
        <v>1673500</v>
      </c>
      <c r="C5" t="n">
        <v>1226000</v>
      </c>
      <c r="D5" t="n">
        <v>447500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
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  <sheet xmlns:r="http://schemas.openxmlformats.org/officeDocument/2006/relationships" name="Ayar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Kalem</t>
        </is>
      </c>
      <c r="B1" t="inlineStr">
        <is>
          <t>Miktar</t>
        </is>
      </c>
      <c r="C1" t="inlineStr">
        <is>
          <t>Birim Fiyat</t>
        </is>
      </c>
      <c r="D1" t="inlineStr">
        <is>
          <t>Tutar</t>
        </is>
      </c>
      <c r="E1" t="inlineStr">
        <is>
          <t>KDV</t>
        </is>
      </c>
      <c r="F1" t="inlineStr">
        <is>
          <t>Toplam</t>
        </is>
      </c>
    </row>
    <row r="2">
      <c r="A2" t="inlineStr">
        <is>
          <t>Laptop</t>
        </is>
      </c>
      <c r="B2" t="n">
        <v>2</v>
      </c>
      <c r="C2" s="1" t="n">
        <v>31249.9</v>
      </c>
      <c r="D2" s="1">
        <f>B2*C2</f>
        <v>62499.8</v>
      </c>
      <c r="E2" s="1">
        <f>D2*0.18</f>
        <v>11249.964</v>
      </c>
      <c r="F2" s="1">
        <f>D2+E2</f>
        <v>73749.764</v>
      </c>
    </row>
    <row r="3">
      <c r="A3" t="inlineStr">
        <is>
          <t>Monitör</t>
        </is>
      </c>
      <c r="B3" t="n">
        <v>3</v>
      </c>
      <c r="C3" s="1" t="n">
        <v>7489.5</v>
      </c>
      <c r="D3" s="1">
        <f>B3*C3</f>
        <v>22468.5</v>
      </c>
      <c r="E3" s="1">
        <f>D3*0.18</f>
        <v>4044.33</v>
      </c>
      <c r="F3" s="1">
        <f>D3+E3</f>
        <v>26512.83</v>
      </c>
    </row>
    <row r="4">
      <c r="A4" t="inlineStr">
        <is>
          <t>Klavye</t>
        </is>
      </c>
      <c r="B4" t="n">
        <v>5</v>
      </c>
      <c r="C4" s="1" t="n">
        <v>949.99</v>
      </c>
      <c r="D4" s="1">
        <f>B4*C4</f>
        <v>4749.95</v>
      </c>
      <c r="E4" s="1">
        <f>D4*0.18</f>
        <v>854.991</v>
      </c>
      <c r="F4" s="1">
        <f>D4+E4</f>
        <v>5604.941</v>
      </c>
    </row>
    <row r="5">
      <c r="A5" t="inlineStr">
        <is>
          <t>Mouse</t>
        </is>
      </c>
      <c r="B5" t="n">
        <v>10</v>
      </c>
      <c r="C5" s="1" t="n">
        <v>419.9</v>
      </c>
      <c r="D5" s="1">
        <f>B5*C5</f>
        <v>4199</v>
      </c>
      <c r="E5" s="1">
        <f>D5*0.18</f>
        <v>755.8199999999999</v>
      </c>
      <c r="F5" s="1">
        <f>D5+E5</f>
        <v>4954.82</v>
      </c>
    </row>
    <row r="6">
      <c r="A6" t="inlineStr">
        <is>
          <t>Yazıcı</t>
        </is>
      </c>
      <c r="B6" t="n">
        <v>1</v>
      </c>
      <c r="C6" s="1" t="n">
        <v>5399</v>
      </c>
      <c r="D6" s="1">
        <f>B6*C6</f>
        <v>5399</v>
      </c>
      <c r="E6" s="1">
        <f>D6*0.18</f>
        <v>971.8199999999999</v>
      </c>
      <c r="F6" s="1">
        <f>D6+E6</f>
        <v>6370.82</v>
      </c>
    </row>
    <row r="7">
      <c r="A7" t="inlineStr">
        <is>
          <t>Kulaklık</t>
        </is>
      </c>
      <c r="B7" t="n">
        <v>4</v>
      </c>
      <c r="C7" s="1" t="n">
        <v>1249.75</v>
      </c>
      <c r="D7" s="1">
        <f>B7*C7</f>
        <v>4999</v>
      </c>
      <c r="E7" s="1">
        <f>D7*0.18</f>
        <v>899.8199999999999</v>
      </c>
      <c r="F7" s="1">
        <f>D7+E7</f>
        <v>5898.82</v>
      </c>
    </row>
    <row r="8">
      <c r="A8" t="inlineStr">
        <is>
          <t>USB Bellek</t>
        </is>
      </c>
      <c r="B8" t="n">
        <v>12</v>
      </c>
      <c r="C8" s="1" t="n">
        <v>189.9</v>
      </c>
      <c r="D8" s="1">
        <f>B8*C8</f>
        <v>2278.8</v>
      </c>
      <c r="E8" s="1">
        <f>D8*0.18</f>
        <v>410.184</v>
      </c>
      <c r="F8" s="1">
        <f>D8+E8</f>
        <v>2688.9840000000004</v>
      </c>
    </row>
    <row r="9">
      <c r="A9" t="inlineStr">
        <is>
          <t>Kablo</t>
        </is>
      </c>
      <c r="B9" t="n">
        <v>20</v>
      </c>
      <c r="C9" s="1" t="n">
        <v>74.45</v>
      </c>
      <c r="D9" s="1">
        <f>B9*C9</f>
        <v>1489</v>
      </c>
      <c r="E9" s="1">
        <f>D9*0.18</f>
        <v>268.02</v>
      </c>
      <c r="F9" s="1">
        <f>D9+E9</f>
        <v>1757.02</v>
      </c>
    </row>
    <row r="10">
      <c r="A10" t="inlineStr">
        <is>
          <t>Genel Toplam</t>
        </is>
      </c>
      <c r="C10" s="1" t="n"/>
      <c r="D10" s="1">
        <f>SUM(D2:D9)</f>
        <v>108083.05</v>
      </c>
      <c r="E10" s="1">
        <f>SUM(E2:E9)</f>
        <v>19454.949</v>
      </c>
      <c r="F10" s="1">
        <f>SUM(F2:F9)</f>
        <v>127537.999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Ayar</t>
        </is>
      </c>
      <c r="B1" t="inlineStr">
        <is>
          <t>Değer</t>
        </is>
      </c>
    </row>
    <row r="2">
      <c r="A2" t="inlineStr">
        <is>
          <t>KDV Oranı</t>
        </is>
      </c>
      <c r="B2" s="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2026-10-17T10:19:06Z</dcterms:created>
  <dcterms:modified xmlns:dcterms="http://purl.org/dc/terms/" xmlns:xsi="http://www.w3.org/2001/XMLSchema-instance" xsi:type="dcterms:W3CDTF">2026-10-17T10:19:06Z</dcterms:modified>
</cp:coreProperties>
</file>